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filterPrivacy="1" codeName="ThisWorkbook"/>
  <xr:revisionPtr revIDLastSave="8" documentId="13_ncr:1_{8D6D1481-E921-4135-8A20-89FA56B1D225}" xr6:coauthVersionLast="47" xr6:coauthVersionMax="47" xr10:uidLastSave="{AC2C86BA-DB42-44A1-AC62-EBC2978A19B2}"/>
  <bookViews>
    <workbookView xWindow="0" yWindow="0" windowWidth="14424" windowHeight="7380" xr2:uid="{00000000-000D-0000-FFFF-FFFF00000000}"/>
  </bookViews>
  <sheets>
    <sheet name="進捗確認表" sheetId="19" r:id="rId1"/>
    <sheet name="進捗確認表_記入例" sheetId="18" r:id="rId2"/>
  </sheets>
  <definedNames>
    <definedName name="タスク_開始" localSheetId="0">#REF!</definedName>
    <definedName name="タスク_開始" localSheetId="1">#REF!</definedName>
    <definedName name="タスク_終了" localSheetId="0">#REF!</definedName>
    <definedName name="タスク_終了" localSheetId="1">#REF!</definedName>
    <definedName name="タスク_進捗状況" localSheetId="0">#REF!</definedName>
    <definedName name="タスク_進捗状況" localSheetId="1">#REF!</definedName>
    <definedName name="プロジェクトの開始" localSheetId="0">#REF!</definedName>
    <definedName name="プロジェクトの開始" localSheetId="1">#REF!</definedName>
    <definedName name="プロジェクトの開始">#REF!</definedName>
    <definedName name="週表示" localSheetId="0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9" l="1"/>
  <c r="I6" i="19" s="1"/>
  <c r="J6" i="19" s="1"/>
  <c r="K6" i="19" s="1"/>
  <c r="L6" i="19" s="1"/>
  <c r="H5" i="19"/>
  <c r="M5" i="19" s="1"/>
  <c r="R5" i="19" s="1"/>
  <c r="R6" i="19" l="1"/>
  <c r="S6" i="19" s="1"/>
  <c r="T6" i="19" s="1"/>
  <c r="U6" i="19" s="1"/>
  <c r="V6" i="19" s="1"/>
  <c r="W5" i="19"/>
  <c r="M6" i="19"/>
  <c r="N6" i="19" s="1"/>
  <c r="O6" i="19" s="1"/>
  <c r="P6" i="19" s="1"/>
  <c r="Q6" i="19" s="1"/>
  <c r="H7" i="18"/>
  <c r="I7" i="18" s="1"/>
  <c r="J7" i="18" s="1"/>
  <c r="K7" i="18" s="1"/>
  <c r="L7" i="18" s="1"/>
  <c r="AB5" i="19" l="1"/>
  <c r="W6" i="19"/>
  <c r="X6" i="19" s="1"/>
  <c r="Y6" i="19" s="1"/>
  <c r="Z6" i="19" s="1"/>
  <c r="AA6" i="19" s="1"/>
  <c r="H6" i="18"/>
  <c r="M6" i="18" s="1"/>
  <c r="AG5" i="19" l="1"/>
  <c r="AB6" i="19"/>
  <c r="AC6" i="19" s="1"/>
  <c r="AD6" i="19" s="1"/>
  <c r="AE6" i="19" s="1"/>
  <c r="AF6" i="19" s="1"/>
  <c r="R6" i="18"/>
  <c r="M7" i="18"/>
  <c r="N7" i="18" s="1"/>
  <c r="O7" i="18" s="1"/>
  <c r="P7" i="18" s="1"/>
  <c r="Q7" i="18" s="1"/>
  <c r="AG6" i="19" l="1"/>
  <c r="AH6" i="19" s="1"/>
  <c r="AI6" i="19" s="1"/>
  <c r="AJ6" i="19" s="1"/>
  <c r="AK6" i="19" s="1"/>
  <c r="AL5" i="19"/>
  <c r="R7" i="18"/>
  <c r="S7" i="18" s="1"/>
  <c r="T7" i="18" s="1"/>
  <c r="U7" i="18" s="1"/>
  <c r="V7" i="18" s="1"/>
  <c r="W6" i="18"/>
  <c r="AQ5" i="19" l="1"/>
  <c r="AL6" i="19"/>
  <c r="AM6" i="19" s="1"/>
  <c r="AN6" i="19" s="1"/>
  <c r="AO6" i="19" s="1"/>
  <c r="AP6" i="19" s="1"/>
  <c r="AB6" i="18"/>
  <c r="W7" i="18"/>
  <c r="X7" i="18" s="1"/>
  <c r="Y7" i="18" s="1"/>
  <c r="Z7" i="18" s="1"/>
  <c r="AA7" i="18" s="1"/>
  <c r="AQ6" i="19" l="1"/>
  <c r="AR6" i="19" s="1"/>
  <c r="AS6" i="19" s="1"/>
  <c r="AT6" i="19" s="1"/>
  <c r="AU6" i="19" s="1"/>
  <c r="AV5" i="19"/>
  <c r="AB7" i="18"/>
  <c r="AC7" i="18" s="1"/>
  <c r="AD7" i="18" s="1"/>
  <c r="AE7" i="18" s="1"/>
  <c r="AF7" i="18" s="1"/>
  <c r="AG6" i="18"/>
  <c r="BA5" i="19" l="1"/>
  <c r="AV6" i="19"/>
  <c r="AW6" i="19" s="1"/>
  <c r="AX6" i="19" s="1"/>
  <c r="AY6" i="19" s="1"/>
  <c r="AZ6" i="19" s="1"/>
  <c r="AG7" i="18"/>
  <c r="AH7" i="18" s="1"/>
  <c r="AI7" i="18" s="1"/>
  <c r="AJ7" i="18" s="1"/>
  <c r="AK7" i="18" s="1"/>
  <c r="AL6" i="18"/>
  <c r="BA6" i="19" l="1"/>
  <c r="BB6" i="19" s="1"/>
  <c r="BC6" i="19" s="1"/>
  <c r="BD6" i="19" s="1"/>
  <c r="BE6" i="19" s="1"/>
  <c r="BF5" i="19"/>
  <c r="AL7" i="18"/>
  <c r="AM7" i="18" s="1"/>
  <c r="AN7" i="18" s="1"/>
  <c r="AO7" i="18" s="1"/>
  <c r="AP7" i="18" s="1"/>
  <c r="AQ6" i="18"/>
  <c r="BK5" i="19" l="1"/>
  <c r="BF6" i="19"/>
  <c r="BG6" i="19" s="1"/>
  <c r="BH6" i="19" s="1"/>
  <c r="BI6" i="19" s="1"/>
  <c r="BJ6" i="19" s="1"/>
  <c r="AQ7" i="18"/>
  <c r="AR7" i="18" s="1"/>
  <c r="AS7" i="18" s="1"/>
  <c r="AT7" i="18" s="1"/>
  <c r="AU7" i="18" s="1"/>
  <c r="AV6" i="18"/>
  <c r="BK6" i="19" l="1"/>
  <c r="BL6" i="19" s="1"/>
  <c r="BM6" i="19" s="1"/>
  <c r="BN6" i="19" s="1"/>
  <c r="BO6" i="19" s="1"/>
  <c r="BP5" i="19"/>
  <c r="AV7" i="18"/>
  <c r="AW7" i="18" s="1"/>
  <c r="AX7" i="18" s="1"/>
  <c r="AY7" i="18" s="1"/>
  <c r="AZ7" i="18" s="1"/>
  <c r="BA6" i="18"/>
  <c r="BP6" i="19" l="1"/>
  <c r="BQ6" i="19" s="1"/>
  <c r="BR6" i="19" s="1"/>
  <c r="BS6" i="19" s="1"/>
  <c r="BT6" i="19" s="1"/>
  <c r="BU5" i="19"/>
  <c r="BF6" i="18"/>
  <c r="BA7" i="18"/>
  <c r="BB7" i="18" s="1"/>
  <c r="BC7" i="18" s="1"/>
  <c r="BD7" i="18" s="1"/>
  <c r="BE7" i="18" s="1"/>
  <c r="BZ5" i="19" l="1"/>
  <c r="BU6" i="19"/>
  <c r="BV6" i="19" s="1"/>
  <c r="BW6" i="19" s="1"/>
  <c r="BX6" i="19" s="1"/>
  <c r="BY6" i="19" s="1"/>
  <c r="BF7" i="18"/>
  <c r="BG7" i="18" s="1"/>
  <c r="BH7" i="18" s="1"/>
  <c r="BI7" i="18" s="1"/>
  <c r="BJ7" i="18" s="1"/>
  <c r="BK6" i="18"/>
  <c r="BZ6" i="19" l="1"/>
  <c r="CA6" i="19" s="1"/>
  <c r="CB6" i="19" s="1"/>
  <c r="CC6" i="19" s="1"/>
  <c r="CD6" i="19" s="1"/>
  <c r="CE5" i="19"/>
  <c r="BK7" i="18"/>
  <c r="BL7" i="18" s="1"/>
  <c r="BM7" i="18" s="1"/>
  <c r="BN7" i="18" s="1"/>
  <c r="BO7" i="18" s="1"/>
  <c r="BP6" i="18"/>
  <c r="CJ5" i="19" l="1"/>
  <c r="CJ6" i="19" s="1"/>
  <c r="CK6" i="19" s="1"/>
  <c r="CL6" i="19" s="1"/>
  <c r="CM6" i="19" s="1"/>
  <c r="CN6" i="19" s="1"/>
  <c r="CE6" i="19"/>
  <c r="CF6" i="19" s="1"/>
  <c r="CG6" i="19" s="1"/>
  <c r="CH6" i="19" s="1"/>
  <c r="CI6" i="19" s="1"/>
  <c r="BP7" i="18"/>
  <c r="BQ7" i="18" s="1"/>
  <c r="BR7" i="18" s="1"/>
  <c r="BS7" i="18" s="1"/>
  <c r="BT7" i="18" s="1"/>
  <c r="BU6" i="18"/>
  <c r="BU7" i="18" l="1"/>
  <c r="BV7" i="18" s="1"/>
  <c r="BW7" i="18" s="1"/>
  <c r="BX7" i="18" s="1"/>
  <c r="BY7" i="18" s="1"/>
  <c r="BZ6" i="18"/>
  <c r="CE6" i="18" l="1"/>
  <c r="BZ7" i="18"/>
  <c r="CA7" i="18" s="1"/>
  <c r="CB7" i="18" s="1"/>
  <c r="CC7" i="18" s="1"/>
  <c r="CD7" i="18" s="1"/>
  <c r="CE7" i="18" l="1"/>
  <c r="CF7" i="18" s="1"/>
  <c r="CG7" i="18" s="1"/>
  <c r="CH7" i="18" s="1"/>
  <c r="CI7" i="18" s="1"/>
  <c r="CJ6" i="18"/>
  <c r="CJ7" i="18" s="1"/>
  <c r="CK7" i="18" s="1"/>
  <c r="CL7" i="18" s="1"/>
  <c r="CM7" i="18" s="1"/>
  <c r="CN7" i="18" s="1"/>
</calcChain>
</file>

<file path=xl/sharedStrings.xml><?xml version="1.0" encoding="utf-8"?>
<sst xmlns="http://schemas.openxmlformats.org/spreadsheetml/2006/main" count="254" uniqueCount="40">
  <si>
    <t>企画制作　進捗管理表</t>
    <phoneticPr fontId="19"/>
  </si>
  <si>
    <t xml:space="preserve"> 制作開始日:</t>
    <phoneticPr fontId="19"/>
  </si>
  <si>
    <t>チーム名：</t>
  </si>
  <si>
    <t>リーダー：</t>
  </si>
  <si>
    <t>メンバー：</t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</si>
  <si>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</si>
  <si>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</si>
  <si>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</si>
  <si>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</si>
  <si>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</si>
  <si>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</si>
  <si>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</si>
  <si>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</si>
  <si>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</si>
  <si>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</si>
  <si>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</si>
  <si>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</si>
  <si>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作業名称1</t>
    <phoneticPr fontId="19"/>
  </si>
  <si>
    <t>タスク名１</t>
    <rPh sb="3" eb="4">
      <t>メイ</t>
    </rPh>
    <phoneticPr fontId="19"/>
  </si>
  <si>
    <t>タスク名２</t>
    <rPh sb="3" eb="4">
      <t>メイ</t>
    </rPh>
    <phoneticPr fontId="19"/>
  </si>
  <si>
    <t>タスク名３</t>
    <rPh sb="3" eb="4">
      <t>メイ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</si>
  <si>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</si>
  <si>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</si>
  <si>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作業名称２</t>
    <rPh sb="0" eb="2">
      <t>サギョウ</t>
    </rPh>
    <rPh sb="2" eb="4">
      <t>メイショウ</t>
    </rPh>
    <phoneticPr fontId="19"/>
  </si>
  <si>
    <t>作業名称３</t>
    <rPh sb="0" eb="2">
      <t>サギョウ</t>
    </rPh>
    <rPh sb="2" eb="4">
      <t>メイショウ</t>
    </rPh>
    <phoneticPr fontId="19"/>
  </si>
  <si>
    <t>作業名称４</t>
    <rPh sb="0" eb="2">
      <t>サギョウ</t>
    </rPh>
    <rPh sb="2" eb="4">
      <t>メイショウ</t>
    </rPh>
    <phoneticPr fontId="19"/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</si>
  <si>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</si>
  <si>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チーム名：我々には後が無い。。。</t>
    <rPh sb="3" eb="4">
      <t>メイ</t>
    </rPh>
    <rPh sb="5" eb="7">
      <t>ワレワレ</t>
    </rPh>
    <rPh sb="9" eb="10">
      <t>アト</t>
    </rPh>
    <rPh sb="11" eb="12">
      <t>ナ</t>
    </rPh>
    <phoneticPr fontId="19"/>
  </si>
  <si>
    <t>リーダー：葉薬　史郎</t>
    <rPh sb="5" eb="6">
      <t>ハ</t>
    </rPh>
    <rPh sb="6" eb="7">
      <t>ヤク</t>
    </rPh>
    <rPh sb="8" eb="10">
      <t>シロウ</t>
    </rPh>
    <phoneticPr fontId="19"/>
  </si>
  <si>
    <t>メンバー：今　矢留男、五月　尾和太</t>
    <rPh sb="5" eb="6">
      <t>イマ</t>
    </rPh>
    <rPh sb="7" eb="8">
      <t>ヤ</t>
    </rPh>
    <rPh sb="8" eb="9">
      <t>ル</t>
    </rPh>
    <rPh sb="9" eb="10">
      <t>オ</t>
    </rPh>
    <rPh sb="11" eb="13">
      <t>サツキ</t>
    </rPh>
    <rPh sb="14" eb="15">
      <t>オ</t>
    </rPh>
    <rPh sb="15" eb="16">
      <t>ワ</t>
    </rPh>
    <rPh sb="16" eb="17">
      <t>フト</t>
    </rPh>
    <phoneticPr fontId="19"/>
  </si>
  <si>
    <t>プレイヤーキャラクター</t>
  </si>
  <si>
    <t>全員</t>
    <rPh sb="0" eb="2">
      <t>ゼンイン</t>
    </rPh>
    <phoneticPr fontId="19"/>
  </si>
  <si>
    <t>移動</t>
  </si>
  <si>
    <t>全員</t>
  </si>
  <si>
    <t>アクション_ジャンプ</t>
  </si>
  <si>
    <t>今、五月</t>
    <rPh sb="0" eb="1">
      <t>イマ</t>
    </rPh>
    <rPh sb="2" eb="4">
      <t>サツキ</t>
    </rPh>
    <phoneticPr fontId="19"/>
  </si>
  <si>
    <t>アクション_二段ジャンプ</t>
  </si>
  <si>
    <t>葉薬、今</t>
    <rPh sb="0" eb="1">
      <t>ハ</t>
    </rPh>
    <rPh sb="1" eb="2">
      <t>クスリ</t>
    </rPh>
    <rPh sb="3" eb="4">
      <t>イマ</t>
    </rPh>
    <phoneticPr fontId="19"/>
  </si>
  <si>
    <t>ダメージ</t>
  </si>
  <si>
    <t>グラフィック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</si>
</sst>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28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88">
    <xf numFmtId="0" fontId="0" fillId="0" borderId="0" xfId="0"/>
    <xf numFmtId="0" fontId="22" fillId="39" borderId="9" xfId="0" applyFont="1" applyFill="1" applyBorder="1"/>
    <xf numFmtId="0" fontId="20" fillId="39" borderId="9" xfId="0" applyFont="1" applyFill="1" applyBorder="1"/>
    <xf numFmtId="0" fontId="20" fillId="38" borderId="9" xfId="0" applyFont="1" applyFill="1" applyBorder="1" applyAlignment="1">
      <alignment horizontal="left" indent="1"/>
    </xf>
    <xf numFmtId="0" fontId="20" fillId="38" borderId="9" xfId="0" applyFont="1" applyFill="1" applyBorder="1"/>
    <xf numFmtId="0" fontId="20" fillId="39" borderId="11" xfId="0" applyFont="1" applyFill="1" applyBorder="1"/>
    <xf numFmtId="0" fontId="20" fillId="38" borderId="10" xfId="0" applyFont="1" applyFill="1" applyBorder="1"/>
    <xf numFmtId="0" fontId="20" fillId="38" borderId="11" xfId="0" applyFont="1" applyFill="1" applyBorder="1"/>
    <xf numFmtId="181" fontId="20" fillId="39" borderId="9" xfId="0" applyNumberFormat="1" applyFont="1" applyFill="1" applyBorder="1"/>
    <xf numFmtId="181" fontId="20" fillId="38" borderId="9" xfId="0" applyNumberFormat="1" applyFont="1" applyFill="1" applyBorder="1"/>
    <xf numFmtId="0" fontId="20" fillId="42" borderId="11" xfId="0" applyFont="1" applyFill="1" applyBorder="1"/>
    <xf numFmtId="0" fontId="20" fillId="43" borderId="11" xfId="0" applyFont="1" applyFill="1" applyBorder="1"/>
    <xf numFmtId="0" fontId="20" fillId="39" borderId="9" xfId="0" applyFont="1" applyFill="1" applyBorder="1" applyAlignment="1">
      <alignment horizontal="center"/>
    </xf>
    <xf numFmtId="0" fontId="20" fillId="38" borderId="9" xfId="0" applyFont="1" applyFill="1" applyBorder="1" applyAlignment="1">
      <alignment horizontal="center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180" fontId="23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 applyProtection="1">
      <alignment vertical="top"/>
      <protection locked="0"/>
    </xf>
    <xf numFmtId="0" fontId="26" fillId="0" borderId="0" xfId="0" applyFont="1" applyAlignment="1">
      <alignment horizontal="right" vertical="center"/>
    </xf>
    <xf numFmtId="180" fontId="21" fillId="43" borderId="10" xfId="0" applyNumberFormat="1" applyFont="1" applyFill="1" applyBorder="1" applyAlignment="1">
      <alignment horizontal="center"/>
    </xf>
    <xf numFmtId="0" fontId="20" fillId="44" borderId="11" xfId="0" applyFont="1" applyFill="1" applyBorder="1"/>
    <xf numFmtId="0" fontId="20" fillId="43" borderId="10" xfId="0" applyFont="1" applyFill="1" applyBorder="1"/>
    <xf numFmtId="14" fontId="20" fillId="0" borderId="9" xfId="0" applyNumberFormat="1" applyFont="1" applyBorder="1" applyAlignment="1">
      <alignment horizontal="center"/>
    </xf>
    <xf numFmtId="183" fontId="27" fillId="0" borderId="0" xfId="0" applyNumberFormat="1" applyFont="1" applyAlignment="1" applyProtection="1">
      <alignment horizontal="left" vertical="center"/>
      <protection locked="0"/>
    </xf>
    <xf numFmtId="183" fontId="24" fillId="0" borderId="0" xfId="9" applyNumberFormat="1" applyFont="1" applyBorder="1" applyAlignment="1">
      <alignment horizontal="left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  <xf numFmtId="0" fontId="20" fillId="0" borderId="0" xfId="0" applyFont="1" applyAlignment="1" applyProtection="1">
      <protection locked="0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1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6C2-4924-46C4-BF7A-0BE92EE1E894}">
  <dimension ref="A1:CN37"/>
  <sheetViews>
    <sheetView tabSelected="1" workbookViewId="0">
      <pane xSplit="7" topLeftCell="H1" activePane="topRight" state="frozen"/>
      <selection pane="topRight" activeCell="N14" sqref="N14"/>
    </sheetView>
  </sheetViews>
  <sheetFormatPr defaultColWidth="8.88671875" defaultRowHeight="17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7.75" customHeight="1">
      <c r="A1" s="71" t="s">
        <v>0</v>
      </c>
      <c r="D1" s="72" t="s">
        <v>1</v>
      </c>
      <c r="E1" s="77">
        <v>45761</v>
      </c>
      <c r="F1" s="77"/>
      <c r="G1" s="77"/>
    </row>
    <row r="2" spans="1:92">
      <c r="A2" s="87" t="s">
        <v>2</v>
      </c>
      <c r="B2" s="87"/>
      <c r="C2" s="87"/>
      <c r="D2" s="87"/>
      <c r="E2" s="87"/>
      <c r="F2" s="87"/>
      <c r="G2" s="87"/>
    </row>
    <row r="3" spans="1:92">
      <c r="A3" s="87" t="s">
        <v>3</v>
      </c>
      <c r="B3" s="87"/>
      <c r="C3" s="87"/>
      <c r="D3" s="87"/>
      <c r="E3" s="87"/>
      <c r="F3" s="87"/>
      <c r="G3" s="87"/>
    </row>
    <row r="4" spans="1:92">
      <c r="A4" s="87" t="s">
        <v>4</v>
      </c>
      <c r="B4" s="87"/>
      <c r="C4" s="87"/>
      <c r="D4" s="87"/>
      <c r="E4" s="87"/>
      <c r="F4" s="87"/>
      <c r="G4" s="87"/>
    </row>
    <row r="5" spans="1:92">
      <c r="A5" s="70"/>
      <c r="B5" s="78"/>
      <c r="C5" s="78"/>
      <c r="D5" s="79"/>
      <c r="E5" s="79"/>
      <c r="F5" s="80"/>
      <c r="G5" s="81"/>
      <c r="H5" s="76">
        <f>H6</f>
        <v>45761</v>
      </c>
      <c r="I5" s="76"/>
      <c r="J5" s="76"/>
      <c r="K5" s="76"/>
      <c r="L5" s="76"/>
      <c r="M5" s="76">
        <f>H5+7</f>
        <v>45768</v>
      </c>
      <c r="N5" s="76"/>
      <c r="O5" s="76"/>
      <c r="P5" s="76"/>
      <c r="Q5" s="76"/>
      <c r="R5" s="76">
        <f>M5+7</f>
        <v>45775</v>
      </c>
      <c r="S5" s="76"/>
      <c r="T5" s="76"/>
      <c r="U5" s="76"/>
      <c r="V5" s="76"/>
      <c r="W5" s="76">
        <f>R5+7</f>
        <v>45782</v>
      </c>
      <c r="X5" s="76"/>
      <c r="Y5" s="76"/>
      <c r="Z5" s="76"/>
      <c r="AA5" s="76"/>
      <c r="AB5" s="76">
        <f>W5+7</f>
        <v>45789</v>
      </c>
      <c r="AC5" s="76"/>
      <c r="AD5" s="76"/>
      <c r="AE5" s="76"/>
      <c r="AF5" s="76"/>
      <c r="AG5" s="76">
        <f>AB5+7</f>
        <v>45796</v>
      </c>
      <c r="AH5" s="76"/>
      <c r="AI5" s="76"/>
      <c r="AJ5" s="76"/>
      <c r="AK5" s="76"/>
      <c r="AL5" s="76">
        <f>AG5+7</f>
        <v>45803</v>
      </c>
      <c r="AM5" s="76"/>
      <c r="AN5" s="76"/>
      <c r="AO5" s="76"/>
      <c r="AP5" s="76"/>
      <c r="AQ5" s="76">
        <f>AL5+7</f>
        <v>45810</v>
      </c>
      <c r="AR5" s="76"/>
      <c r="AS5" s="76"/>
      <c r="AT5" s="76"/>
      <c r="AU5" s="76"/>
      <c r="AV5" s="76">
        <f>AQ5+7</f>
        <v>45817</v>
      </c>
      <c r="AW5" s="76"/>
      <c r="AX5" s="76"/>
      <c r="AY5" s="76"/>
      <c r="AZ5" s="76"/>
      <c r="BA5" s="76">
        <f>AV5+7</f>
        <v>45824</v>
      </c>
      <c r="BB5" s="76"/>
      <c r="BC5" s="76"/>
      <c r="BD5" s="76"/>
      <c r="BE5" s="76"/>
      <c r="BF5" s="76">
        <f>BA5+7</f>
        <v>45831</v>
      </c>
      <c r="BG5" s="76"/>
      <c r="BH5" s="76"/>
      <c r="BI5" s="76"/>
      <c r="BJ5" s="76"/>
      <c r="BK5" s="76">
        <f>BF5+7</f>
        <v>45838</v>
      </c>
      <c r="BL5" s="76"/>
      <c r="BM5" s="76"/>
      <c r="BN5" s="76"/>
      <c r="BO5" s="76"/>
      <c r="BP5" s="76">
        <f>BK5+7</f>
        <v>45845</v>
      </c>
      <c r="BQ5" s="76"/>
      <c r="BR5" s="76"/>
      <c r="BS5" s="76"/>
      <c r="BT5" s="76"/>
      <c r="BU5" s="76">
        <f>BP5+7</f>
        <v>45852</v>
      </c>
      <c r="BV5" s="76"/>
      <c r="BW5" s="76"/>
      <c r="BX5" s="76"/>
      <c r="BY5" s="76"/>
      <c r="BZ5" s="76">
        <f>BU5+7</f>
        <v>45859</v>
      </c>
      <c r="CA5" s="76"/>
      <c r="CB5" s="76"/>
      <c r="CC5" s="76"/>
      <c r="CD5" s="76"/>
      <c r="CE5" s="76">
        <f>BZ5+7</f>
        <v>45866</v>
      </c>
      <c r="CF5" s="76"/>
      <c r="CG5" s="76"/>
      <c r="CH5" s="76"/>
      <c r="CI5" s="76"/>
      <c r="CJ5" s="76">
        <f>CE5+7</f>
        <v>45873</v>
      </c>
      <c r="CK5" s="76"/>
      <c r="CL5" s="76"/>
      <c r="CM5" s="76"/>
      <c r="CN5" s="76"/>
    </row>
    <row r="6" spans="1:92">
      <c r="A6" s="65"/>
      <c r="B6" s="65"/>
      <c r="C6" s="66"/>
      <c r="D6" s="82" t="s">
        <v>5</v>
      </c>
      <c r="E6" s="83"/>
      <c r="F6" s="84" t="s">
        <v>6</v>
      </c>
      <c r="G6" s="83"/>
      <c r="H6" s="67">
        <f>E1-WEEKDAY(E1,1)+2</f>
        <v>45761</v>
      </c>
      <c r="I6" s="67">
        <f>H6+1</f>
        <v>45762</v>
      </c>
      <c r="J6" s="67">
        <f t="shared" ref="J6:L6" si="0">I6+1</f>
        <v>45763</v>
      </c>
      <c r="K6" s="67">
        <f t="shared" si="0"/>
        <v>45764</v>
      </c>
      <c r="L6" s="67">
        <f t="shared" si="0"/>
        <v>45765</v>
      </c>
      <c r="M6" s="67">
        <f>M5</f>
        <v>45768</v>
      </c>
      <c r="N6" s="67">
        <f>M6+1</f>
        <v>45769</v>
      </c>
      <c r="O6" s="67">
        <f t="shared" ref="O6:Q6" si="1">N6+1</f>
        <v>45770</v>
      </c>
      <c r="P6" s="67">
        <f t="shared" si="1"/>
        <v>45771</v>
      </c>
      <c r="Q6" s="67">
        <f t="shared" si="1"/>
        <v>45772</v>
      </c>
      <c r="R6" s="67">
        <f>R5</f>
        <v>45775</v>
      </c>
      <c r="S6" s="67">
        <f>R6+1</f>
        <v>45776</v>
      </c>
      <c r="T6" s="67">
        <f t="shared" ref="T6:V6" si="2">S6+1</f>
        <v>45777</v>
      </c>
      <c r="U6" s="67">
        <f t="shared" si="2"/>
        <v>45778</v>
      </c>
      <c r="V6" s="67">
        <f t="shared" si="2"/>
        <v>45779</v>
      </c>
      <c r="W6" s="68">
        <f>W5</f>
        <v>45782</v>
      </c>
      <c r="X6" s="67">
        <f>W6+1</f>
        <v>45783</v>
      </c>
      <c r="Y6" s="67">
        <f t="shared" ref="Y6:AA6" si="3">X6+1</f>
        <v>45784</v>
      </c>
      <c r="Z6" s="67">
        <f t="shared" si="3"/>
        <v>45785</v>
      </c>
      <c r="AA6" s="68">
        <f t="shared" si="3"/>
        <v>45786</v>
      </c>
      <c r="AB6" s="68">
        <f>AB5</f>
        <v>45789</v>
      </c>
      <c r="AC6" s="67">
        <f>AB6+1</f>
        <v>45790</v>
      </c>
      <c r="AD6" s="67">
        <f t="shared" ref="AD6:AF6" si="4">AC6+1</f>
        <v>45791</v>
      </c>
      <c r="AE6" s="67">
        <f t="shared" si="4"/>
        <v>45792</v>
      </c>
      <c r="AF6" s="67">
        <f t="shared" si="4"/>
        <v>45793</v>
      </c>
      <c r="AG6" s="67">
        <f>AG5</f>
        <v>45796</v>
      </c>
      <c r="AH6" s="67">
        <f>AG6+1</f>
        <v>45797</v>
      </c>
      <c r="AI6" s="67">
        <f t="shared" ref="AI6:AK6" si="5">AH6+1</f>
        <v>45798</v>
      </c>
      <c r="AJ6" s="67">
        <f t="shared" si="5"/>
        <v>45799</v>
      </c>
      <c r="AK6" s="67">
        <f t="shared" si="5"/>
        <v>45800</v>
      </c>
      <c r="AL6" s="67">
        <f>AL5</f>
        <v>45803</v>
      </c>
      <c r="AM6" s="67">
        <f>AL6+1</f>
        <v>45804</v>
      </c>
      <c r="AN6" s="67">
        <f t="shared" ref="AN6:AP6" si="6">AM6+1</f>
        <v>45805</v>
      </c>
      <c r="AO6" s="67">
        <f t="shared" si="6"/>
        <v>45806</v>
      </c>
      <c r="AP6" s="67">
        <f t="shared" si="6"/>
        <v>45807</v>
      </c>
      <c r="AQ6" s="67">
        <f>AQ5</f>
        <v>45810</v>
      </c>
      <c r="AR6" s="67">
        <f>AQ6+1</f>
        <v>45811</v>
      </c>
      <c r="AS6" s="67">
        <f t="shared" ref="AS6:AU6" si="7">AR6+1</f>
        <v>45812</v>
      </c>
      <c r="AT6" s="67">
        <f t="shared" si="7"/>
        <v>45813</v>
      </c>
      <c r="AU6" s="67">
        <f t="shared" si="7"/>
        <v>45814</v>
      </c>
      <c r="AV6" s="67">
        <f>AV5</f>
        <v>45817</v>
      </c>
      <c r="AW6" s="67">
        <f>AV6+1</f>
        <v>45818</v>
      </c>
      <c r="AX6" s="67">
        <f t="shared" ref="AX6:AZ6" si="8">AW6+1</f>
        <v>45819</v>
      </c>
      <c r="AY6" s="67">
        <f t="shared" si="8"/>
        <v>45820</v>
      </c>
      <c r="AZ6" s="67">
        <f t="shared" si="8"/>
        <v>45821</v>
      </c>
      <c r="BA6" s="67">
        <f>BA5</f>
        <v>45824</v>
      </c>
      <c r="BB6" s="67">
        <f>BA6+1</f>
        <v>45825</v>
      </c>
      <c r="BC6" s="67">
        <f t="shared" ref="BC6:BE6" si="9">BB6+1</f>
        <v>45826</v>
      </c>
      <c r="BD6" s="67">
        <f t="shared" si="9"/>
        <v>45827</v>
      </c>
      <c r="BE6" s="67">
        <f t="shared" si="9"/>
        <v>45828</v>
      </c>
      <c r="BF6" s="67">
        <f>BF5</f>
        <v>45831</v>
      </c>
      <c r="BG6" s="67">
        <f>BF6+1</f>
        <v>45832</v>
      </c>
      <c r="BH6" s="67">
        <f t="shared" ref="BH6:BJ6" si="10">BG6+1</f>
        <v>45833</v>
      </c>
      <c r="BI6" s="67">
        <f t="shared" si="10"/>
        <v>45834</v>
      </c>
      <c r="BJ6" s="67">
        <f t="shared" si="10"/>
        <v>45835</v>
      </c>
      <c r="BK6" s="67">
        <f>BK5</f>
        <v>45838</v>
      </c>
      <c r="BL6" s="67">
        <f>BK6+1</f>
        <v>45839</v>
      </c>
      <c r="BM6" s="67">
        <f t="shared" ref="BM6:BO6" si="11">BL6+1</f>
        <v>45840</v>
      </c>
      <c r="BN6" s="67">
        <f t="shared" si="11"/>
        <v>45841</v>
      </c>
      <c r="BO6" s="67">
        <f t="shared" si="11"/>
        <v>45842</v>
      </c>
      <c r="BP6" s="67">
        <f>BP5</f>
        <v>45845</v>
      </c>
      <c r="BQ6" s="67">
        <f>BP6+1</f>
        <v>45846</v>
      </c>
      <c r="BR6" s="67">
        <f t="shared" ref="BR6:BT6" si="12">BQ6+1</f>
        <v>45847</v>
      </c>
      <c r="BS6" s="67">
        <f t="shared" si="12"/>
        <v>45848</v>
      </c>
      <c r="BT6" s="67">
        <f t="shared" si="12"/>
        <v>45849</v>
      </c>
      <c r="BU6" s="67">
        <f>BU5</f>
        <v>45852</v>
      </c>
      <c r="BV6" s="67">
        <f>BU6+1</f>
        <v>45853</v>
      </c>
      <c r="BW6" s="67">
        <f t="shared" ref="BW6:BY6" si="13">BV6+1</f>
        <v>45854</v>
      </c>
      <c r="BX6" s="67">
        <f t="shared" si="13"/>
        <v>45855</v>
      </c>
      <c r="BY6" s="67">
        <f t="shared" si="13"/>
        <v>45856</v>
      </c>
      <c r="BZ6" s="68">
        <f>BZ5</f>
        <v>45859</v>
      </c>
      <c r="CA6" s="67">
        <f>BZ6+1</f>
        <v>45860</v>
      </c>
      <c r="CB6" s="67">
        <f t="shared" ref="CB6:CD6" si="14">CA6+1</f>
        <v>45861</v>
      </c>
      <c r="CC6" s="67">
        <f t="shared" si="14"/>
        <v>45862</v>
      </c>
      <c r="CD6" s="67">
        <f t="shared" si="14"/>
        <v>45863</v>
      </c>
      <c r="CE6" s="67">
        <f>CE5</f>
        <v>45866</v>
      </c>
      <c r="CF6" s="67">
        <f>CE6+1</f>
        <v>45867</v>
      </c>
      <c r="CG6" s="67">
        <f t="shared" ref="CG6:CI6" si="15">CF6+1</f>
        <v>45868</v>
      </c>
      <c r="CH6" s="67">
        <f t="shared" si="15"/>
        <v>45869</v>
      </c>
      <c r="CI6" s="67">
        <f t="shared" si="15"/>
        <v>45870</v>
      </c>
      <c r="CJ6" s="67">
        <f>CJ5</f>
        <v>45873</v>
      </c>
      <c r="CK6" s="67">
        <f>CJ6+1</f>
        <v>45874</v>
      </c>
      <c r="CL6" s="67">
        <f t="shared" ref="CL6:CN6" si="16">CK6+1</f>
        <v>45875</v>
      </c>
      <c r="CM6" s="67">
        <f t="shared" si="16"/>
        <v>45876</v>
      </c>
      <c r="CN6" s="67">
        <f t="shared" si="16"/>
        <v>45877</v>
      </c>
    </row>
    <row r="7" spans="1:92" ht="19.5" customHeight="1">
      <c r="A7" s="69" t="s">
        <v>7</v>
      </c>
      <c r="B7" s="69" t="s">
        <v>8</v>
      </c>
      <c r="C7" s="69" t="s">
        <v>9</v>
      </c>
      <c r="D7" s="69" t="s">
        <v>10</v>
      </c>
      <c r="E7" s="69" t="s">
        <v>11</v>
      </c>
      <c r="F7" s="69" t="s">
        <v>10</v>
      </c>
      <c r="G7" s="69" t="s">
        <v>11</v>
      </c>
      <c r="H7" s="69" t="s">
        <v>12</v>
      </c>
      <c r="I7" s="69" t="s">
        <v>13</v>
      </c>
      <c r="J7" s="69" t="s">
        <v>14</v>
      </c>
      <c r="K7" s="69" t="s">
        <v>15</v>
      </c>
      <c r="L7" s="69" t="s">
        <v>16</v>
      </c>
      <c r="M7" s="69" t="s">
        <v>12</v>
      </c>
      <c r="N7" s="69" t="s">
        <v>13</v>
      </c>
      <c r="O7" s="69" t="s">
        <v>14</v>
      </c>
      <c r="P7" s="69" t="s">
        <v>15</v>
      </c>
      <c r="Q7" s="69" t="s">
        <v>16</v>
      </c>
      <c r="R7" s="69" t="s">
        <v>12</v>
      </c>
      <c r="S7" s="69" t="s">
        <v>13</v>
      </c>
      <c r="T7" s="69" t="s">
        <v>14</v>
      </c>
      <c r="U7" s="69" t="s">
        <v>15</v>
      </c>
      <c r="V7" s="69" t="s">
        <v>16</v>
      </c>
      <c r="W7" s="69" t="s">
        <v>12</v>
      </c>
      <c r="X7" s="69" t="s">
        <v>13</v>
      </c>
      <c r="Y7" s="69" t="s">
        <v>14</v>
      </c>
      <c r="Z7" s="69" t="s">
        <v>15</v>
      </c>
      <c r="AA7" s="69" t="s">
        <v>16</v>
      </c>
      <c r="AB7" s="69" t="s">
        <v>12</v>
      </c>
      <c r="AC7" s="69" t="s">
        <v>13</v>
      </c>
      <c r="AD7" s="69" t="s">
        <v>14</v>
      </c>
      <c r="AE7" s="69" t="s">
        <v>15</v>
      </c>
      <c r="AF7" s="69" t="s">
        <v>16</v>
      </c>
      <c r="AG7" s="69" t="s">
        <v>12</v>
      </c>
      <c r="AH7" s="69" t="s">
        <v>13</v>
      </c>
      <c r="AI7" s="69" t="s">
        <v>14</v>
      </c>
      <c r="AJ7" s="69" t="s">
        <v>15</v>
      </c>
      <c r="AK7" s="69" t="s">
        <v>16</v>
      </c>
      <c r="AL7" s="69" t="s">
        <v>12</v>
      </c>
      <c r="AM7" s="69" t="s">
        <v>13</v>
      </c>
      <c r="AN7" s="69" t="s">
        <v>14</v>
      </c>
      <c r="AO7" s="69" t="s">
        <v>15</v>
      </c>
      <c r="AP7" s="69" t="s">
        <v>16</v>
      </c>
      <c r="AQ7" s="69" t="s">
        <v>12</v>
      </c>
      <c r="AR7" s="69" t="s">
        <v>13</v>
      </c>
      <c r="AS7" s="69" t="s">
        <v>14</v>
      </c>
      <c r="AT7" s="69" t="s">
        <v>15</v>
      </c>
      <c r="AU7" s="69" t="s">
        <v>16</v>
      </c>
      <c r="AV7" s="69" t="s">
        <v>12</v>
      </c>
      <c r="AW7" s="69" t="s">
        <v>13</v>
      </c>
      <c r="AX7" s="69" t="s">
        <v>14</v>
      </c>
      <c r="AY7" s="69" t="s">
        <v>15</v>
      </c>
      <c r="AZ7" s="69" t="s">
        <v>16</v>
      </c>
      <c r="BA7" s="69" t="s">
        <v>12</v>
      </c>
      <c r="BB7" s="69" t="s">
        <v>13</v>
      </c>
      <c r="BC7" s="69" t="s">
        <v>14</v>
      </c>
      <c r="BD7" s="69" t="s">
        <v>15</v>
      </c>
      <c r="BE7" s="69" t="s">
        <v>16</v>
      </c>
      <c r="BF7" s="69" t="s">
        <v>12</v>
      </c>
      <c r="BG7" s="69" t="s">
        <v>13</v>
      </c>
      <c r="BH7" s="69" t="s">
        <v>14</v>
      </c>
      <c r="BI7" s="69" t="s">
        <v>15</v>
      </c>
      <c r="BJ7" s="69" t="s">
        <v>16</v>
      </c>
      <c r="BK7" s="69" t="s">
        <v>12</v>
      </c>
      <c r="BL7" s="69" t="s">
        <v>13</v>
      </c>
      <c r="BM7" s="69" t="s">
        <v>14</v>
      </c>
      <c r="BN7" s="69" t="s">
        <v>15</v>
      </c>
      <c r="BO7" s="69" t="s">
        <v>16</v>
      </c>
      <c r="BP7" s="69" t="s">
        <v>12</v>
      </c>
      <c r="BQ7" s="69" t="s">
        <v>13</v>
      </c>
      <c r="BR7" s="69" t="s">
        <v>14</v>
      </c>
      <c r="BS7" s="69" t="s">
        <v>15</v>
      </c>
      <c r="BT7" s="69" t="s">
        <v>16</v>
      </c>
      <c r="BU7" s="69" t="s">
        <v>12</v>
      </c>
      <c r="BV7" s="69" t="s">
        <v>13</v>
      </c>
      <c r="BW7" s="69" t="s">
        <v>14</v>
      </c>
      <c r="BX7" s="69" t="s">
        <v>15</v>
      </c>
      <c r="BY7" s="69" t="s">
        <v>16</v>
      </c>
      <c r="BZ7" s="69" t="s">
        <v>12</v>
      </c>
      <c r="CA7" s="69" t="s">
        <v>13</v>
      </c>
      <c r="CB7" s="69" t="s">
        <v>14</v>
      </c>
      <c r="CC7" s="69" t="s">
        <v>15</v>
      </c>
      <c r="CD7" s="69" t="s">
        <v>16</v>
      </c>
      <c r="CE7" s="69" t="s">
        <v>12</v>
      </c>
      <c r="CF7" s="69" t="s">
        <v>13</v>
      </c>
      <c r="CG7" s="69" t="s">
        <v>14</v>
      </c>
      <c r="CH7" s="69" t="s">
        <v>15</v>
      </c>
      <c r="CI7" s="69" t="s">
        <v>16</v>
      </c>
      <c r="CJ7" s="69" t="s">
        <v>12</v>
      </c>
      <c r="CK7" s="69" t="s">
        <v>13</v>
      </c>
      <c r="CL7" s="69" t="s">
        <v>14</v>
      </c>
      <c r="CM7" s="69" t="s">
        <v>15</v>
      </c>
      <c r="CN7" s="69" t="s">
        <v>16</v>
      </c>
    </row>
    <row r="8" spans="1:92" ht="24" customHeight="1">
      <c r="A8" s="1" t="s">
        <v>17</v>
      </c>
      <c r="B8" s="2"/>
      <c r="C8" s="12"/>
      <c r="D8" s="8"/>
      <c r="E8" s="8"/>
      <c r="F8" s="8"/>
      <c r="G8" s="8"/>
      <c r="H8" s="74"/>
      <c r="I8" s="74"/>
      <c r="J8" s="74"/>
      <c r="K8" s="74"/>
      <c r="L8" s="5"/>
      <c r="M8" s="16"/>
      <c r="N8" s="16"/>
      <c r="O8" s="16"/>
      <c r="P8" s="16"/>
      <c r="Q8" s="16"/>
      <c r="R8" s="16"/>
      <c r="S8" s="74"/>
      <c r="T8" s="74"/>
      <c r="U8" s="74"/>
      <c r="V8" s="74"/>
      <c r="W8" s="74"/>
      <c r="X8" s="74"/>
      <c r="Y8" s="5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7"/>
    </row>
    <row r="9" spans="1:92" ht="24" customHeight="1">
      <c r="A9" s="3" t="s">
        <v>18</v>
      </c>
      <c r="B9" s="4"/>
      <c r="C9" s="13"/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9"/>
    </row>
    <row r="10" spans="1:92" ht="24" customHeight="1">
      <c r="A10" s="3" t="s">
        <v>19</v>
      </c>
      <c r="B10" s="4"/>
      <c r="C10" s="13"/>
      <c r="D10" s="9"/>
      <c r="E10" s="9"/>
      <c r="F10" s="9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9"/>
    </row>
    <row r="11" spans="1:92" ht="24" customHeight="1">
      <c r="A11" s="3" t="s">
        <v>20</v>
      </c>
      <c r="B11" s="4"/>
      <c r="C11" s="13"/>
      <c r="D11" s="9"/>
      <c r="E11" s="9"/>
      <c r="F11" s="9"/>
      <c r="G11" s="9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9"/>
    </row>
    <row r="12" spans="1:92" ht="24" customHeight="1">
      <c r="A12" s="3" t="s">
        <v>21</v>
      </c>
      <c r="B12" s="4"/>
      <c r="C12" s="13"/>
      <c r="D12" s="9"/>
      <c r="E12" s="9"/>
      <c r="F12" s="9"/>
      <c r="G12" s="9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9"/>
    </row>
    <row r="13" spans="1:92" ht="24" customHeight="1">
      <c r="A13" s="3" t="s">
        <v>22</v>
      </c>
      <c r="B13" s="4"/>
      <c r="C13" s="13"/>
      <c r="D13" s="9"/>
      <c r="E13" s="9"/>
      <c r="F13" s="9"/>
      <c r="G13" s="9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9"/>
    </row>
    <row r="14" spans="1:92" ht="24" customHeight="1">
      <c r="A14" s="20" t="s">
        <v>23</v>
      </c>
      <c r="B14" s="21"/>
      <c r="C14" s="22"/>
      <c r="D14" s="23"/>
      <c r="E14" s="23"/>
      <c r="F14" s="23"/>
      <c r="G14" s="23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6"/>
    </row>
    <row r="15" spans="1:92" ht="24" customHeight="1">
      <c r="A15" s="62" t="s">
        <v>18</v>
      </c>
      <c r="B15" s="27"/>
      <c r="C15" s="28"/>
      <c r="D15" s="29"/>
      <c r="E15" s="29"/>
      <c r="F15" s="29"/>
      <c r="G15" s="29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2"/>
    </row>
    <row r="16" spans="1:92" ht="24" customHeight="1">
      <c r="A16" s="62" t="s">
        <v>19</v>
      </c>
      <c r="B16" s="27"/>
      <c r="C16" s="28"/>
      <c r="D16" s="29"/>
      <c r="E16" s="29"/>
      <c r="F16" s="29"/>
      <c r="G16" s="29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2"/>
    </row>
    <row r="17" spans="1:92" ht="24" customHeight="1">
      <c r="A17" s="62" t="s">
        <v>20</v>
      </c>
      <c r="B17" s="27"/>
      <c r="C17" s="28"/>
      <c r="D17" s="29"/>
      <c r="E17" s="29"/>
      <c r="F17" s="29"/>
      <c r="G17" s="29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2"/>
    </row>
    <row r="18" spans="1:92" ht="24" customHeight="1">
      <c r="A18" s="62" t="s">
        <v>21</v>
      </c>
      <c r="B18" s="27"/>
      <c r="C18" s="28"/>
      <c r="D18" s="29"/>
      <c r="E18" s="29"/>
      <c r="F18" s="29"/>
      <c r="G18" s="29"/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2"/>
    </row>
    <row r="19" spans="1:92" ht="24" customHeight="1">
      <c r="A19" s="62" t="s">
        <v>22</v>
      </c>
      <c r="B19" s="27"/>
      <c r="C19" s="28"/>
      <c r="D19" s="29"/>
      <c r="E19" s="29"/>
      <c r="F19" s="29"/>
      <c r="G19" s="29"/>
      <c r="H19" s="30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2"/>
    </row>
    <row r="20" spans="1:92" ht="24" customHeight="1">
      <c r="A20" s="33" t="s">
        <v>24</v>
      </c>
      <c r="B20" s="34"/>
      <c r="C20" s="35"/>
      <c r="D20" s="36"/>
      <c r="E20" s="36"/>
      <c r="F20" s="36"/>
      <c r="G20" s="36"/>
      <c r="H20" s="37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9"/>
    </row>
    <row r="21" spans="1:92" ht="24" customHeight="1">
      <c r="A21" s="63" t="s">
        <v>18</v>
      </c>
      <c r="B21" s="40"/>
      <c r="C21" s="41"/>
      <c r="D21" s="42"/>
      <c r="E21" s="42"/>
      <c r="F21" s="42"/>
      <c r="G21" s="42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5"/>
    </row>
    <row r="22" spans="1:92" ht="24" customHeight="1">
      <c r="A22" s="63" t="s">
        <v>19</v>
      </c>
      <c r="B22" s="40"/>
      <c r="C22" s="41"/>
      <c r="D22" s="42"/>
      <c r="E22" s="42"/>
      <c r="F22" s="42"/>
      <c r="G22" s="42"/>
      <c r="H22" s="43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5"/>
    </row>
    <row r="23" spans="1:92" ht="24" customHeight="1">
      <c r="A23" s="63" t="s">
        <v>20</v>
      </c>
      <c r="B23" s="40"/>
      <c r="C23" s="41"/>
      <c r="D23" s="42"/>
      <c r="E23" s="42"/>
      <c r="F23" s="42"/>
      <c r="G23" s="42"/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5"/>
    </row>
    <row r="24" spans="1:92" ht="24" customHeight="1">
      <c r="A24" s="63" t="s">
        <v>21</v>
      </c>
      <c r="B24" s="40"/>
      <c r="C24" s="41"/>
      <c r="D24" s="42"/>
      <c r="E24" s="42"/>
      <c r="F24" s="42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5"/>
    </row>
    <row r="25" spans="1:92" ht="24" customHeight="1">
      <c r="A25" s="63" t="s">
        <v>22</v>
      </c>
      <c r="B25" s="40"/>
      <c r="C25" s="41"/>
      <c r="D25" s="42"/>
      <c r="E25" s="42"/>
      <c r="F25" s="42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5"/>
    </row>
    <row r="26" spans="1:92" ht="24" customHeight="1">
      <c r="A26" s="46" t="s">
        <v>25</v>
      </c>
      <c r="B26" s="47"/>
      <c r="C26" s="48"/>
      <c r="D26" s="49"/>
      <c r="E26" s="49"/>
      <c r="F26" s="49"/>
      <c r="G26" s="49"/>
      <c r="H26" s="5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2"/>
    </row>
    <row r="27" spans="1:92" ht="24" customHeight="1">
      <c r="A27" s="64" t="s">
        <v>18</v>
      </c>
      <c r="B27" s="53"/>
      <c r="C27" s="54"/>
      <c r="D27" s="55"/>
      <c r="E27" s="55"/>
      <c r="F27" s="55"/>
      <c r="G27" s="55"/>
      <c r="H27" s="56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8"/>
    </row>
    <row r="28" spans="1:92" ht="24" customHeight="1">
      <c r="A28" s="64" t="s">
        <v>19</v>
      </c>
      <c r="B28" s="53"/>
      <c r="C28" s="54"/>
      <c r="D28" s="55"/>
      <c r="E28" s="55"/>
      <c r="F28" s="55"/>
      <c r="G28" s="55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8"/>
    </row>
    <row r="29" spans="1:92" ht="24" customHeight="1">
      <c r="A29" s="64" t="s">
        <v>20</v>
      </c>
      <c r="B29" s="53"/>
      <c r="C29" s="54"/>
      <c r="D29" s="55"/>
      <c r="E29" s="55"/>
      <c r="F29" s="55"/>
      <c r="G29" s="55"/>
      <c r="H29" s="56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8"/>
    </row>
    <row r="30" spans="1:92" ht="24" customHeight="1">
      <c r="A30" s="64" t="s">
        <v>21</v>
      </c>
      <c r="B30" s="53"/>
      <c r="C30" s="54"/>
      <c r="D30" s="55"/>
      <c r="E30" s="55"/>
      <c r="F30" s="55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8"/>
    </row>
    <row r="31" spans="1:92" ht="24" customHeight="1">
      <c r="A31" s="64" t="s">
        <v>22</v>
      </c>
      <c r="B31" s="53"/>
      <c r="C31" s="54"/>
      <c r="D31" s="55"/>
      <c r="E31" s="55"/>
      <c r="F31" s="55"/>
      <c r="G31" s="55"/>
      <c r="H31" s="56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8"/>
    </row>
    <row r="32" spans="1:92" ht="24" customHeight="1"/>
    <row r="33" spans="1:92" ht="24" customHeight="1">
      <c r="A33" s="59" t="s">
        <v>26</v>
      </c>
      <c r="B33" s="60"/>
      <c r="C33" s="61"/>
      <c r="D33" s="61"/>
      <c r="E33" s="61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</row>
    <row r="34" spans="1:92" ht="24" customHeight="1"/>
    <row r="35" spans="1:92" ht="24" customHeight="1"/>
    <row r="36" spans="1:92" ht="24" customHeight="1"/>
    <row r="37" spans="1:92" ht="24" customHeight="1"/>
  </sheetData>
  <sheetProtection insertRows="0"/>
  <mergeCells count="26">
    <mergeCell ref="CE5:CI5"/>
    <mergeCell ref="CJ5:CN5"/>
    <mergeCell ref="D6:E6"/>
    <mergeCell ref="F6:G6"/>
    <mergeCell ref="BA5:BE5"/>
    <mergeCell ref="BF5:BJ5"/>
    <mergeCell ref="BK5:BO5"/>
    <mergeCell ref="BP5:BT5"/>
    <mergeCell ref="BU5:BY5"/>
    <mergeCell ref="BZ5:CD5"/>
    <mergeCell ref="W5:AA5"/>
    <mergeCell ref="AB5:AF5"/>
    <mergeCell ref="AG5:AK5"/>
    <mergeCell ref="AL5:AP5"/>
    <mergeCell ref="AQ5:AU5"/>
    <mergeCell ref="AV5:AZ5"/>
    <mergeCell ref="R5:V5"/>
    <mergeCell ref="E1:G1"/>
    <mergeCell ref="A2:G2"/>
    <mergeCell ref="A3:G3"/>
    <mergeCell ref="A4:G4"/>
    <mergeCell ref="B5:C5"/>
    <mergeCell ref="D5:E5"/>
    <mergeCell ref="F5:G5"/>
    <mergeCell ref="H5:L5"/>
    <mergeCell ref="M5:Q5"/>
  </mergeCells>
  <phoneticPr fontId="19"/>
  <conditionalFormatting sqref="F14:G31">
    <cfRule type="expression" dxfId="9" priority="5">
      <formula>D14&lt;F14</formula>
    </cfRule>
  </conditionalFormatting>
  <conditionalFormatting sqref="G8">
    <cfRule type="expression" dxfId="8" priority="2">
      <formula>E8&lt;G8</formula>
    </cfRule>
  </conditionalFormatting>
  <conditionalFormatting sqref="F8">
    <cfRule type="expression" dxfId="7" priority="1">
      <formula>D8&lt;F8</formula>
    </cfRule>
  </conditionalFormatting>
  <conditionalFormatting sqref="G9:G13">
    <cfRule type="expression" dxfId="6" priority="4">
      <formula>E9&lt;G9</formula>
    </cfRule>
  </conditionalFormatting>
  <conditionalFormatting sqref="F9:F13">
    <cfRule type="expression" dxfId="5" priority="3">
      <formula>D9&lt;F9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38"/>
  <sheetViews>
    <sheetView workbookViewId="0">
      <selection activeCell="C12" sqref="C12"/>
    </sheetView>
  </sheetViews>
  <sheetFormatPr defaultColWidth="8.88671875" defaultRowHeight="17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7.75" customHeight="1">
      <c r="A1" s="71" t="s">
        <v>0</v>
      </c>
      <c r="D1" s="72" t="s">
        <v>1</v>
      </c>
      <c r="E1" s="77">
        <v>45761</v>
      </c>
      <c r="F1" s="77"/>
      <c r="G1" s="77"/>
    </row>
    <row r="2" spans="1:92">
      <c r="A2" s="87" t="s">
        <v>27</v>
      </c>
      <c r="B2" s="87"/>
      <c r="C2" s="87"/>
      <c r="D2" s="87"/>
      <c r="E2" s="87"/>
      <c r="F2" s="87"/>
      <c r="G2" s="87"/>
    </row>
    <row r="3" spans="1:92">
      <c r="A3" s="87" t="s">
        <v>28</v>
      </c>
      <c r="B3" s="87"/>
      <c r="C3" s="87"/>
      <c r="D3" s="87"/>
      <c r="E3" s="87"/>
      <c r="F3" s="87"/>
      <c r="G3" s="87"/>
    </row>
    <row r="4" spans="1:92">
      <c r="A4" s="87" t="s">
        <v>29</v>
      </c>
      <c r="B4" s="87"/>
      <c r="C4" s="87"/>
      <c r="D4" s="87"/>
      <c r="E4" s="87"/>
      <c r="F4" s="87"/>
      <c r="G4" s="87"/>
    </row>
    <row r="5" spans="1:92" ht="18.75" customHeight="1">
      <c r="D5" s="85"/>
      <c r="E5" s="85"/>
      <c r="F5" s="86"/>
      <c r="G5" s="86"/>
    </row>
    <row r="6" spans="1:92">
      <c r="A6" s="70"/>
      <c r="B6" s="78"/>
      <c r="C6" s="78"/>
      <c r="D6" s="79"/>
      <c r="E6" s="79"/>
      <c r="F6" s="80"/>
      <c r="G6" s="81"/>
      <c r="H6" s="76">
        <f>H7</f>
        <v>45761</v>
      </c>
      <c r="I6" s="76"/>
      <c r="J6" s="76"/>
      <c r="K6" s="76"/>
      <c r="L6" s="76"/>
      <c r="M6" s="76">
        <f>H6+7</f>
        <v>45768</v>
      </c>
      <c r="N6" s="76"/>
      <c r="O6" s="76"/>
      <c r="P6" s="76"/>
      <c r="Q6" s="76"/>
      <c r="R6" s="76">
        <f>M6+7</f>
        <v>45775</v>
      </c>
      <c r="S6" s="76"/>
      <c r="T6" s="76"/>
      <c r="U6" s="76"/>
      <c r="V6" s="76"/>
      <c r="W6" s="76">
        <f>R6+7</f>
        <v>45782</v>
      </c>
      <c r="X6" s="76"/>
      <c r="Y6" s="76"/>
      <c r="Z6" s="76"/>
      <c r="AA6" s="76"/>
      <c r="AB6" s="76">
        <f>W6+7</f>
        <v>45789</v>
      </c>
      <c r="AC6" s="76"/>
      <c r="AD6" s="76"/>
      <c r="AE6" s="76"/>
      <c r="AF6" s="76"/>
      <c r="AG6" s="76">
        <f>AB6+7</f>
        <v>45796</v>
      </c>
      <c r="AH6" s="76"/>
      <c r="AI6" s="76"/>
      <c r="AJ6" s="76"/>
      <c r="AK6" s="76"/>
      <c r="AL6" s="76">
        <f>AG6+7</f>
        <v>45803</v>
      </c>
      <c r="AM6" s="76"/>
      <c r="AN6" s="76"/>
      <c r="AO6" s="76"/>
      <c r="AP6" s="76"/>
      <c r="AQ6" s="76">
        <f>AL6+7</f>
        <v>45810</v>
      </c>
      <c r="AR6" s="76"/>
      <c r="AS6" s="76"/>
      <c r="AT6" s="76"/>
      <c r="AU6" s="76"/>
      <c r="AV6" s="76">
        <f>AQ6+7</f>
        <v>45817</v>
      </c>
      <c r="AW6" s="76"/>
      <c r="AX6" s="76"/>
      <c r="AY6" s="76"/>
      <c r="AZ6" s="76"/>
      <c r="BA6" s="76">
        <f>AV6+7</f>
        <v>45824</v>
      </c>
      <c r="BB6" s="76"/>
      <c r="BC6" s="76"/>
      <c r="BD6" s="76"/>
      <c r="BE6" s="76"/>
      <c r="BF6" s="76">
        <f>BA6+7</f>
        <v>45831</v>
      </c>
      <c r="BG6" s="76"/>
      <c r="BH6" s="76"/>
      <c r="BI6" s="76"/>
      <c r="BJ6" s="76"/>
      <c r="BK6" s="76">
        <f>BF6+7</f>
        <v>45838</v>
      </c>
      <c r="BL6" s="76"/>
      <c r="BM6" s="76"/>
      <c r="BN6" s="76"/>
      <c r="BO6" s="76"/>
      <c r="BP6" s="76">
        <f>BK6+7</f>
        <v>45845</v>
      </c>
      <c r="BQ6" s="76"/>
      <c r="BR6" s="76"/>
      <c r="BS6" s="76"/>
      <c r="BT6" s="76"/>
      <c r="BU6" s="76">
        <f>BP6+7</f>
        <v>45852</v>
      </c>
      <c r="BV6" s="76"/>
      <c r="BW6" s="76"/>
      <c r="BX6" s="76"/>
      <c r="BY6" s="76"/>
      <c r="BZ6" s="76">
        <f>BU6+7</f>
        <v>45859</v>
      </c>
      <c r="CA6" s="76"/>
      <c r="CB6" s="76"/>
      <c r="CC6" s="76"/>
      <c r="CD6" s="76"/>
      <c r="CE6" s="76">
        <f>BZ6+7</f>
        <v>45866</v>
      </c>
      <c r="CF6" s="76"/>
      <c r="CG6" s="76"/>
      <c r="CH6" s="76"/>
      <c r="CI6" s="76"/>
      <c r="CJ6" s="76">
        <f>CE6+7</f>
        <v>45873</v>
      </c>
      <c r="CK6" s="76"/>
      <c r="CL6" s="76"/>
      <c r="CM6" s="76"/>
      <c r="CN6" s="76"/>
    </row>
    <row r="7" spans="1:92">
      <c r="A7" s="65"/>
      <c r="B7" s="65"/>
      <c r="C7" s="66"/>
      <c r="D7" s="82" t="s">
        <v>5</v>
      </c>
      <c r="E7" s="83"/>
      <c r="F7" s="84" t="s">
        <v>6</v>
      </c>
      <c r="G7" s="83"/>
      <c r="H7" s="67">
        <f>E1-WEEKDAY(E1,1)+2</f>
        <v>45761</v>
      </c>
      <c r="I7" s="67">
        <f>H7+1</f>
        <v>45762</v>
      </c>
      <c r="J7" s="67">
        <f t="shared" ref="J7:L7" si="0">I7+1</f>
        <v>45763</v>
      </c>
      <c r="K7" s="67">
        <f t="shared" si="0"/>
        <v>45764</v>
      </c>
      <c r="L7" s="67">
        <f t="shared" si="0"/>
        <v>45765</v>
      </c>
      <c r="M7" s="67">
        <f>M6</f>
        <v>45768</v>
      </c>
      <c r="N7" s="67">
        <f>M7+1</f>
        <v>45769</v>
      </c>
      <c r="O7" s="67">
        <f t="shared" ref="O7:Q7" si="1">N7+1</f>
        <v>45770</v>
      </c>
      <c r="P7" s="67">
        <f t="shared" si="1"/>
        <v>45771</v>
      </c>
      <c r="Q7" s="67">
        <f t="shared" si="1"/>
        <v>45772</v>
      </c>
      <c r="R7" s="67">
        <f>R6</f>
        <v>45775</v>
      </c>
      <c r="S7" s="67">
        <f>R7+1</f>
        <v>45776</v>
      </c>
      <c r="T7" s="67">
        <f t="shared" ref="T7:V7" si="2">S7+1</f>
        <v>45777</v>
      </c>
      <c r="U7" s="67">
        <f t="shared" si="2"/>
        <v>45778</v>
      </c>
      <c r="V7" s="67">
        <f t="shared" si="2"/>
        <v>45779</v>
      </c>
      <c r="W7" s="68">
        <f>W6</f>
        <v>45782</v>
      </c>
      <c r="X7" s="67">
        <f>W7+1</f>
        <v>45783</v>
      </c>
      <c r="Y7" s="67">
        <f t="shared" ref="Y7:AA7" si="3">X7+1</f>
        <v>45784</v>
      </c>
      <c r="Z7" s="67">
        <f t="shared" si="3"/>
        <v>45785</v>
      </c>
      <c r="AA7" s="68">
        <f t="shared" si="3"/>
        <v>45786</v>
      </c>
      <c r="AB7" s="68">
        <f>AB6</f>
        <v>45789</v>
      </c>
      <c r="AC7" s="67">
        <f>AB7+1</f>
        <v>45790</v>
      </c>
      <c r="AD7" s="67">
        <f t="shared" ref="AD7:AF7" si="4">AC7+1</f>
        <v>45791</v>
      </c>
      <c r="AE7" s="67">
        <f t="shared" si="4"/>
        <v>45792</v>
      </c>
      <c r="AF7" s="67">
        <f t="shared" si="4"/>
        <v>45793</v>
      </c>
      <c r="AG7" s="67">
        <f>AG6</f>
        <v>45796</v>
      </c>
      <c r="AH7" s="67">
        <f>AG7+1</f>
        <v>45797</v>
      </c>
      <c r="AI7" s="67">
        <f t="shared" ref="AI7:AK7" si="5">AH7+1</f>
        <v>45798</v>
      </c>
      <c r="AJ7" s="67">
        <f t="shared" si="5"/>
        <v>45799</v>
      </c>
      <c r="AK7" s="67">
        <f t="shared" si="5"/>
        <v>45800</v>
      </c>
      <c r="AL7" s="67">
        <f>AL6</f>
        <v>45803</v>
      </c>
      <c r="AM7" s="67">
        <f>AL7+1</f>
        <v>45804</v>
      </c>
      <c r="AN7" s="67">
        <f t="shared" ref="AN7:AP7" si="6">AM7+1</f>
        <v>45805</v>
      </c>
      <c r="AO7" s="67">
        <f t="shared" si="6"/>
        <v>45806</v>
      </c>
      <c r="AP7" s="67">
        <f t="shared" si="6"/>
        <v>45807</v>
      </c>
      <c r="AQ7" s="67">
        <f>AQ6</f>
        <v>45810</v>
      </c>
      <c r="AR7" s="67">
        <f>AQ7+1</f>
        <v>45811</v>
      </c>
      <c r="AS7" s="67">
        <f t="shared" ref="AS7:AU7" si="7">AR7+1</f>
        <v>45812</v>
      </c>
      <c r="AT7" s="67">
        <f t="shared" si="7"/>
        <v>45813</v>
      </c>
      <c r="AU7" s="67">
        <f t="shared" si="7"/>
        <v>45814</v>
      </c>
      <c r="AV7" s="67">
        <f>AV6</f>
        <v>45817</v>
      </c>
      <c r="AW7" s="67">
        <f>AV7+1</f>
        <v>45818</v>
      </c>
      <c r="AX7" s="67">
        <f t="shared" ref="AX7:AZ7" si="8">AW7+1</f>
        <v>45819</v>
      </c>
      <c r="AY7" s="67">
        <f t="shared" si="8"/>
        <v>45820</v>
      </c>
      <c r="AZ7" s="67">
        <f t="shared" si="8"/>
        <v>45821</v>
      </c>
      <c r="BA7" s="67">
        <f>BA6</f>
        <v>45824</v>
      </c>
      <c r="BB7" s="67">
        <f>BA7+1</f>
        <v>45825</v>
      </c>
      <c r="BC7" s="67">
        <f t="shared" ref="BC7:BE7" si="9">BB7+1</f>
        <v>45826</v>
      </c>
      <c r="BD7" s="67">
        <f t="shared" si="9"/>
        <v>45827</v>
      </c>
      <c r="BE7" s="67">
        <f t="shared" si="9"/>
        <v>45828</v>
      </c>
      <c r="BF7" s="67">
        <f>BF6</f>
        <v>45831</v>
      </c>
      <c r="BG7" s="67">
        <f>BF7+1</f>
        <v>45832</v>
      </c>
      <c r="BH7" s="67">
        <f t="shared" ref="BH7:BJ7" si="10">BG7+1</f>
        <v>45833</v>
      </c>
      <c r="BI7" s="67">
        <f t="shared" si="10"/>
        <v>45834</v>
      </c>
      <c r="BJ7" s="67">
        <f t="shared" si="10"/>
        <v>45835</v>
      </c>
      <c r="BK7" s="67">
        <f>BK6</f>
        <v>45838</v>
      </c>
      <c r="BL7" s="67">
        <f>BK7+1</f>
        <v>45839</v>
      </c>
      <c r="BM7" s="67">
        <f t="shared" ref="BM7:BO7" si="11">BL7+1</f>
        <v>45840</v>
      </c>
      <c r="BN7" s="67">
        <f t="shared" si="11"/>
        <v>45841</v>
      </c>
      <c r="BO7" s="67">
        <f t="shared" si="11"/>
        <v>45842</v>
      </c>
      <c r="BP7" s="67">
        <f>BP6</f>
        <v>45845</v>
      </c>
      <c r="BQ7" s="67">
        <f>BP7+1</f>
        <v>45846</v>
      </c>
      <c r="BR7" s="67">
        <f t="shared" ref="BR7:BT7" si="12">BQ7+1</f>
        <v>45847</v>
      </c>
      <c r="BS7" s="67">
        <f t="shared" si="12"/>
        <v>45848</v>
      </c>
      <c r="BT7" s="67">
        <f t="shared" si="12"/>
        <v>45849</v>
      </c>
      <c r="BU7" s="67">
        <f>BU6</f>
        <v>45852</v>
      </c>
      <c r="BV7" s="67">
        <f>BU7+1</f>
        <v>45853</v>
      </c>
      <c r="BW7" s="67">
        <f t="shared" ref="BW7:BY7" si="13">BV7+1</f>
        <v>45854</v>
      </c>
      <c r="BX7" s="67">
        <f t="shared" si="13"/>
        <v>45855</v>
      </c>
      <c r="BY7" s="67">
        <f t="shared" si="13"/>
        <v>45856</v>
      </c>
      <c r="BZ7" s="68">
        <f>BZ6</f>
        <v>45859</v>
      </c>
      <c r="CA7" s="67">
        <f>BZ7+1</f>
        <v>45860</v>
      </c>
      <c r="CB7" s="67">
        <f t="shared" ref="CB7:CD7" si="14">CA7+1</f>
        <v>45861</v>
      </c>
      <c r="CC7" s="67">
        <f t="shared" si="14"/>
        <v>45862</v>
      </c>
      <c r="CD7" s="67">
        <f t="shared" si="14"/>
        <v>45863</v>
      </c>
      <c r="CE7" s="67">
        <f>CE6</f>
        <v>45866</v>
      </c>
      <c r="CF7" s="67">
        <f>CE7+1</f>
        <v>45867</v>
      </c>
      <c r="CG7" s="67">
        <f t="shared" ref="CG7:CI7" si="15">CF7+1</f>
        <v>45868</v>
      </c>
      <c r="CH7" s="67">
        <f t="shared" si="15"/>
        <v>45869</v>
      </c>
      <c r="CI7" s="67">
        <f t="shared" si="15"/>
        <v>45870</v>
      </c>
      <c r="CJ7" s="67">
        <f>CJ6</f>
        <v>45873</v>
      </c>
      <c r="CK7" s="67">
        <f>CJ7+1</f>
        <v>45874</v>
      </c>
      <c r="CL7" s="67">
        <f t="shared" ref="CL7:CN7" si="16">CK7+1</f>
        <v>45875</v>
      </c>
      <c r="CM7" s="67">
        <f t="shared" si="16"/>
        <v>45876</v>
      </c>
      <c r="CN7" s="67">
        <f t="shared" si="16"/>
        <v>45877</v>
      </c>
    </row>
    <row r="8" spans="1:92" ht="19.5" customHeight="1">
      <c r="A8" s="69" t="s">
        <v>7</v>
      </c>
      <c r="B8" s="69" t="s">
        <v>8</v>
      </c>
      <c r="C8" s="69" t="s">
        <v>9</v>
      </c>
      <c r="D8" s="69" t="s">
        <v>10</v>
      </c>
      <c r="E8" s="69" t="s">
        <v>11</v>
      </c>
      <c r="F8" s="69" t="s">
        <v>10</v>
      </c>
      <c r="G8" s="69" t="s">
        <v>11</v>
      </c>
      <c r="H8" s="69" t="s">
        <v>12</v>
      </c>
      <c r="I8" s="69" t="s">
        <v>13</v>
      </c>
      <c r="J8" s="69" t="s">
        <v>14</v>
      </c>
      <c r="K8" s="69" t="s">
        <v>15</v>
      </c>
      <c r="L8" s="69" t="s">
        <v>16</v>
      </c>
      <c r="M8" s="69" t="s">
        <v>12</v>
      </c>
      <c r="N8" s="69" t="s">
        <v>13</v>
      </c>
      <c r="O8" s="69" t="s">
        <v>14</v>
      </c>
      <c r="P8" s="69" t="s">
        <v>15</v>
      </c>
      <c r="Q8" s="69" t="s">
        <v>16</v>
      </c>
      <c r="R8" s="69" t="s">
        <v>12</v>
      </c>
      <c r="S8" s="69" t="s">
        <v>13</v>
      </c>
      <c r="T8" s="69" t="s">
        <v>14</v>
      </c>
      <c r="U8" s="69" t="s">
        <v>15</v>
      </c>
      <c r="V8" s="69" t="s">
        <v>16</v>
      </c>
      <c r="W8" s="69" t="s">
        <v>12</v>
      </c>
      <c r="X8" s="69" t="s">
        <v>13</v>
      </c>
      <c r="Y8" s="69" t="s">
        <v>14</v>
      </c>
      <c r="Z8" s="69" t="s">
        <v>15</v>
      </c>
      <c r="AA8" s="69" t="s">
        <v>16</v>
      </c>
      <c r="AB8" s="69" t="s">
        <v>12</v>
      </c>
      <c r="AC8" s="69" t="s">
        <v>13</v>
      </c>
      <c r="AD8" s="69" t="s">
        <v>14</v>
      </c>
      <c r="AE8" s="69" t="s">
        <v>15</v>
      </c>
      <c r="AF8" s="69" t="s">
        <v>16</v>
      </c>
      <c r="AG8" s="69" t="s">
        <v>12</v>
      </c>
      <c r="AH8" s="69" t="s">
        <v>13</v>
      </c>
      <c r="AI8" s="69" t="s">
        <v>14</v>
      </c>
      <c r="AJ8" s="69" t="s">
        <v>15</v>
      </c>
      <c r="AK8" s="69" t="s">
        <v>16</v>
      </c>
      <c r="AL8" s="69" t="s">
        <v>12</v>
      </c>
      <c r="AM8" s="69" t="s">
        <v>13</v>
      </c>
      <c r="AN8" s="69" t="s">
        <v>14</v>
      </c>
      <c r="AO8" s="69" t="s">
        <v>15</v>
      </c>
      <c r="AP8" s="69" t="s">
        <v>16</v>
      </c>
      <c r="AQ8" s="69" t="s">
        <v>12</v>
      </c>
      <c r="AR8" s="69" t="s">
        <v>13</v>
      </c>
      <c r="AS8" s="69" t="s">
        <v>14</v>
      </c>
      <c r="AT8" s="69" t="s">
        <v>15</v>
      </c>
      <c r="AU8" s="69" t="s">
        <v>16</v>
      </c>
      <c r="AV8" s="69" t="s">
        <v>12</v>
      </c>
      <c r="AW8" s="69" t="s">
        <v>13</v>
      </c>
      <c r="AX8" s="69" t="s">
        <v>14</v>
      </c>
      <c r="AY8" s="69" t="s">
        <v>15</v>
      </c>
      <c r="AZ8" s="69" t="s">
        <v>16</v>
      </c>
      <c r="BA8" s="69" t="s">
        <v>12</v>
      </c>
      <c r="BB8" s="69" t="s">
        <v>13</v>
      </c>
      <c r="BC8" s="69" t="s">
        <v>14</v>
      </c>
      <c r="BD8" s="69" t="s">
        <v>15</v>
      </c>
      <c r="BE8" s="69" t="s">
        <v>16</v>
      </c>
      <c r="BF8" s="69" t="s">
        <v>12</v>
      </c>
      <c r="BG8" s="69" t="s">
        <v>13</v>
      </c>
      <c r="BH8" s="69" t="s">
        <v>14</v>
      </c>
      <c r="BI8" s="69" t="s">
        <v>15</v>
      </c>
      <c r="BJ8" s="69" t="s">
        <v>16</v>
      </c>
      <c r="BK8" s="69" t="s">
        <v>12</v>
      </c>
      <c r="BL8" s="69" t="s">
        <v>13</v>
      </c>
      <c r="BM8" s="69" t="s">
        <v>14</v>
      </c>
      <c r="BN8" s="69" t="s">
        <v>15</v>
      </c>
      <c r="BO8" s="69" t="s">
        <v>16</v>
      </c>
      <c r="BP8" s="69" t="s">
        <v>12</v>
      </c>
      <c r="BQ8" s="69" t="s">
        <v>13</v>
      </c>
      <c r="BR8" s="69" t="s">
        <v>14</v>
      </c>
      <c r="BS8" s="69" t="s">
        <v>15</v>
      </c>
      <c r="BT8" s="69" t="s">
        <v>16</v>
      </c>
      <c r="BU8" s="69" t="s">
        <v>12</v>
      </c>
      <c r="BV8" s="69" t="s">
        <v>13</v>
      </c>
      <c r="BW8" s="69" t="s">
        <v>14</v>
      </c>
      <c r="BX8" s="69" t="s">
        <v>15</v>
      </c>
      <c r="BY8" s="69" t="s">
        <v>16</v>
      </c>
      <c r="BZ8" s="69" t="s">
        <v>12</v>
      </c>
      <c r="CA8" s="69" t="s">
        <v>13</v>
      </c>
      <c r="CB8" s="69" t="s">
        <v>14</v>
      </c>
      <c r="CC8" s="69" t="s">
        <v>15</v>
      </c>
      <c r="CD8" s="69" t="s">
        <v>16</v>
      </c>
      <c r="CE8" s="69" t="s">
        <v>12</v>
      </c>
      <c r="CF8" s="69" t="s">
        <v>13</v>
      </c>
      <c r="CG8" s="69" t="s">
        <v>14</v>
      </c>
      <c r="CH8" s="69" t="s">
        <v>15</v>
      </c>
      <c r="CI8" s="69" t="s">
        <v>16</v>
      </c>
      <c r="CJ8" s="69" t="s">
        <v>12</v>
      </c>
      <c r="CK8" s="69" t="s">
        <v>13</v>
      </c>
      <c r="CL8" s="69" t="s">
        <v>14</v>
      </c>
      <c r="CM8" s="69" t="s">
        <v>15</v>
      </c>
      <c r="CN8" s="69" t="s">
        <v>16</v>
      </c>
    </row>
    <row r="9" spans="1:92" ht="24" customHeight="1">
      <c r="A9" s="1" t="s">
        <v>30</v>
      </c>
      <c r="B9" s="2" t="s">
        <v>31</v>
      </c>
      <c r="C9" s="12">
        <v>40</v>
      </c>
      <c r="D9" s="8">
        <v>45761</v>
      </c>
      <c r="E9" s="8">
        <v>45777</v>
      </c>
      <c r="F9" s="8">
        <v>45761</v>
      </c>
      <c r="G9" s="8"/>
      <c r="H9" s="73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74"/>
      <c r="V9" s="74"/>
      <c r="W9" s="74"/>
      <c r="X9" s="74"/>
      <c r="Y9" s="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7"/>
    </row>
    <row r="10" spans="1:92" ht="24" customHeight="1">
      <c r="A10" s="3" t="s">
        <v>32</v>
      </c>
      <c r="B10" s="4" t="s">
        <v>33</v>
      </c>
      <c r="C10" s="13">
        <v>100</v>
      </c>
      <c r="D10" s="9">
        <v>45761</v>
      </c>
      <c r="E10" s="9">
        <v>45763</v>
      </c>
      <c r="F10" s="9">
        <v>45761</v>
      </c>
      <c r="G10" s="9">
        <v>45763</v>
      </c>
      <c r="H10" s="75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9"/>
    </row>
    <row r="11" spans="1:92" ht="24" customHeight="1">
      <c r="A11" s="3" t="s">
        <v>34</v>
      </c>
      <c r="B11" s="4" t="s">
        <v>35</v>
      </c>
      <c r="C11" s="13">
        <v>100</v>
      </c>
      <c r="D11" s="9">
        <v>45764</v>
      </c>
      <c r="E11" s="9">
        <v>45766</v>
      </c>
      <c r="F11" s="9">
        <v>45764</v>
      </c>
      <c r="G11" s="9">
        <v>45769</v>
      </c>
      <c r="H11" s="6"/>
      <c r="I11" s="7"/>
      <c r="J11" s="7"/>
      <c r="K11" s="11"/>
      <c r="L11" s="11"/>
      <c r="M11" s="11"/>
      <c r="N11" s="11"/>
      <c r="O11" s="7"/>
      <c r="P11" s="7"/>
      <c r="Q11" s="7"/>
      <c r="R11" s="7"/>
      <c r="S11" s="7"/>
      <c r="T11" s="7"/>
      <c r="U11" s="7"/>
      <c r="V11" s="7"/>
      <c r="W11" s="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9"/>
    </row>
    <row r="12" spans="1:92" ht="24" customHeight="1">
      <c r="A12" s="3" t="s">
        <v>36</v>
      </c>
      <c r="B12" s="4" t="s">
        <v>37</v>
      </c>
      <c r="C12" s="13"/>
      <c r="D12" s="9">
        <v>45769</v>
      </c>
      <c r="E12" s="9">
        <v>45771</v>
      </c>
      <c r="F12" s="9">
        <v>45769</v>
      </c>
      <c r="G12" s="9"/>
      <c r="H12" s="6"/>
      <c r="I12" s="7"/>
      <c r="J12" s="7"/>
      <c r="K12" s="7"/>
      <c r="L12" s="7"/>
      <c r="M12" s="7"/>
      <c r="N12" s="11"/>
      <c r="O12" s="10"/>
      <c r="P12" s="10"/>
      <c r="Q12" s="7"/>
      <c r="R12" s="7"/>
      <c r="S12" s="7"/>
      <c r="T12" s="7"/>
      <c r="U12" s="7"/>
      <c r="V12" s="7"/>
      <c r="W12" s="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9"/>
    </row>
    <row r="13" spans="1:92" ht="24" customHeight="1">
      <c r="A13" s="3" t="s">
        <v>38</v>
      </c>
      <c r="B13" s="4" t="s">
        <v>37</v>
      </c>
      <c r="C13" s="13"/>
      <c r="D13" s="9">
        <v>45769</v>
      </c>
      <c r="E13" s="9">
        <v>45773</v>
      </c>
      <c r="F13" s="9"/>
      <c r="G13" s="9"/>
      <c r="H13" s="6"/>
      <c r="I13" s="7"/>
      <c r="J13" s="7"/>
      <c r="K13" s="7"/>
      <c r="L13" s="7"/>
      <c r="M13" s="7"/>
      <c r="N13" s="10"/>
      <c r="O13" s="10"/>
      <c r="P13" s="10"/>
      <c r="Q13" s="10"/>
      <c r="R13" s="10"/>
      <c r="S13" s="7"/>
      <c r="T13" s="7"/>
      <c r="U13" s="7"/>
      <c r="V13" s="7"/>
      <c r="W13" s="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9"/>
    </row>
    <row r="14" spans="1:92" ht="24" customHeight="1">
      <c r="A14" s="3" t="s">
        <v>39</v>
      </c>
      <c r="B14" s="4" t="s">
        <v>31</v>
      </c>
      <c r="C14" s="13"/>
      <c r="D14" s="9">
        <v>45772</v>
      </c>
      <c r="E14" s="9">
        <v>45777</v>
      </c>
      <c r="F14" s="9"/>
      <c r="G14" s="9"/>
      <c r="H14" s="6"/>
      <c r="I14" s="7"/>
      <c r="J14" s="7"/>
      <c r="K14" s="7"/>
      <c r="L14" s="7"/>
      <c r="M14" s="7"/>
      <c r="N14" s="7"/>
      <c r="O14" s="7"/>
      <c r="P14" s="7"/>
      <c r="Q14" s="10"/>
      <c r="R14" s="10"/>
      <c r="S14" s="10"/>
      <c r="T14" s="10"/>
      <c r="U14" s="7"/>
      <c r="V14" s="7"/>
      <c r="W14" s="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9"/>
    </row>
    <row r="15" spans="1:92" ht="24" customHeight="1">
      <c r="A15" s="20" t="s">
        <v>23</v>
      </c>
      <c r="B15" s="21"/>
      <c r="C15" s="22"/>
      <c r="D15" s="23"/>
      <c r="E15" s="23"/>
      <c r="F15" s="23"/>
      <c r="G15" s="23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6"/>
    </row>
    <row r="16" spans="1:92" ht="24" customHeight="1">
      <c r="A16" s="62" t="s">
        <v>18</v>
      </c>
      <c r="B16" s="27"/>
      <c r="C16" s="28"/>
      <c r="D16" s="29"/>
      <c r="E16" s="29"/>
      <c r="F16" s="29"/>
      <c r="G16" s="29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2"/>
    </row>
    <row r="17" spans="1:92" ht="24" customHeight="1">
      <c r="A17" s="62" t="s">
        <v>19</v>
      </c>
      <c r="B17" s="27"/>
      <c r="C17" s="28"/>
      <c r="D17" s="29"/>
      <c r="E17" s="29"/>
      <c r="F17" s="29"/>
      <c r="G17" s="29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2"/>
    </row>
    <row r="18" spans="1:92" ht="24" customHeight="1">
      <c r="A18" s="62" t="s">
        <v>20</v>
      </c>
      <c r="B18" s="27"/>
      <c r="C18" s="28"/>
      <c r="D18" s="29"/>
      <c r="E18" s="29"/>
      <c r="F18" s="29"/>
      <c r="G18" s="29"/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2"/>
    </row>
    <row r="19" spans="1:92" ht="24" customHeight="1">
      <c r="A19" s="62" t="s">
        <v>21</v>
      </c>
      <c r="B19" s="27"/>
      <c r="C19" s="28"/>
      <c r="D19" s="29"/>
      <c r="E19" s="29"/>
      <c r="F19" s="29"/>
      <c r="G19" s="29"/>
      <c r="H19" s="30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2"/>
    </row>
    <row r="20" spans="1:92" ht="24" customHeight="1">
      <c r="A20" s="62" t="s">
        <v>22</v>
      </c>
      <c r="B20" s="27"/>
      <c r="C20" s="28"/>
      <c r="D20" s="29"/>
      <c r="E20" s="29"/>
      <c r="F20" s="29"/>
      <c r="G20" s="29"/>
      <c r="H20" s="30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2"/>
    </row>
    <row r="21" spans="1:92" ht="24" customHeight="1">
      <c r="A21" s="33" t="s">
        <v>24</v>
      </c>
      <c r="B21" s="34"/>
      <c r="C21" s="35"/>
      <c r="D21" s="36"/>
      <c r="E21" s="36"/>
      <c r="F21" s="36"/>
      <c r="G21" s="36"/>
      <c r="H21" s="3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9"/>
    </row>
    <row r="22" spans="1:92" ht="24" customHeight="1">
      <c r="A22" s="63" t="s">
        <v>18</v>
      </c>
      <c r="B22" s="40"/>
      <c r="C22" s="41"/>
      <c r="D22" s="42"/>
      <c r="E22" s="42"/>
      <c r="F22" s="42"/>
      <c r="G22" s="42"/>
      <c r="H22" s="43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5"/>
    </row>
    <row r="23" spans="1:92" ht="24" customHeight="1">
      <c r="A23" s="63" t="s">
        <v>19</v>
      </c>
      <c r="B23" s="40"/>
      <c r="C23" s="41"/>
      <c r="D23" s="42"/>
      <c r="E23" s="42"/>
      <c r="F23" s="42"/>
      <c r="G23" s="42"/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5"/>
    </row>
    <row r="24" spans="1:92" ht="24" customHeight="1">
      <c r="A24" s="63" t="s">
        <v>20</v>
      </c>
      <c r="B24" s="40"/>
      <c r="C24" s="41"/>
      <c r="D24" s="42"/>
      <c r="E24" s="42"/>
      <c r="F24" s="42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5"/>
    </row>
    <row r="25" spans="1:92" ht="24" customHeight="1">
      <c r="A25" s="63" t="s">
        <v>21</v>
      </c>
      <c r="B25" s="40"/>
      <c r="C25" s="41"/>
      <c r="D25" s="42"/>
      <c r="E25" s="42"/>
      <c r="F25" s="42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5"/>
    </row>
    <row r="26" spans="1:92" ht="24" customHeight="1">
      <c r="A26" s="63" t="s">
        <v>22</v>
      </c>
      <c r="B26" s="40"/>
      <c r="C26" s="41"/>
      <c r="D26" s="42"/>
      <c r="E26" s="42"/>
      <c r="F26" s="42"/>
      <c r="G26" s="42"/>
      <c r="H26" s="43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5"/>
    </row>
    <row r="27" spans="1:92" ht="24" customHeight="1">
      <c r="A27" s="46" t="s">
        <v>25</v>
      </c>
      <c r="B27" s="47"/>
      <c r="C27" s="48"/>
      <c r="D27" s="49"/>
      <c r="E27" s="49"/>
      <c r="F27" s="49"/>
      <c r="G27" s="49"/>
      <c r="H27" s="5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2"/>
    </row>
    <row r="28" spans="1:92" ht="24" customHeight="1">
      <c r="A28" s="64" t="s">
        <v>18</v>
      </c>
      <c r="B28" s="53"/>
      <c r="C28" s="54"/>
      <c r="D28" s="55"/>
      <c r="E28" s="55"/>
      <c r="F28" s="55"/>
      <c r="G28" s="55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8"/>
    </row>
    <row r="29" spans="1:92" ht="24" customHeight="1">
      <c r="A29" s="64" t="s">
        <v>19</v>
      </c>
      <c r="B29" s="53"/>
      <c r="C29" s="54"/>
      <c r="D29" s="55"/>
      <c r="E29" s="55"/>
      <c r="F29" s="55"/>
      <c r="G29" s="55"/>
      <c r="H29" s="56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8"/>
    </row>
    <row r="30" spans="1:92" ht="24" customHeight="1">
      <c r="A30" s="64" t="s">
        <v>20</v>
      </c>
      <c r="B30" s="53"/>
      <c r="C30" s="54"/>
      <c r="D30" s="55"/>
      <c r="E30" s="55"/>
      <c r="F30" s="55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8"/>
    </row>
    <row r="31" spans="1:92" ht="24" customHeight="1">
      <c r="A31" s="64" t="s">
        <v>21</v>
      </c>
      <c r="B31" s="53"/>
      <c r="C31" s="54"/>
      <c r="D31" s="55"/>
      <c r="E31" s="55"/>
      <c r="F31" s="55"/>
      <c r="G31" s="55"/>
      <c r="H31" s="56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8"/>
    </row>
    <row r="32" spans="1:92" ht="24" customHeight="1">
      <c r="A32" s="64" t="s">
        <v>22</v>
      </c>
      <c r="B32" s="53"/>
      <c r="C32" s="54"/>
      <c r="D32" s="55"/>
      <c r="E32" s="55"/>
      <c r="F32" s="55"/>
      <c r="G32" s="55"/>
      <c r="H32" s="56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8"/>
    </row>
    <row r="33" spans="1:92" ht="24" customHeight="1"/>
    <row r="34" spans="1:92" ht="24" customHeight="1">
      <c r="A34" s="59" t="s">
        <v>26</v>
      </c>
      <c r="B34" s="60"/>
      <c r="C34" s="61"/>
      <c r="D34" s="61"/>
      <c r="E34" s="61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</row>
    <row r="35" spans="1:92" ht="24" customHeight="1"/>
    <row r="36" spans="1:92" ht="24" customHeight="1"/>
    <row r="37" spans="1:92" ht="24" customHeight="1"/>
    <row r="38" spans="1:92" ht="24" customHeight="1"/>
  </sheetData>
  <sheetProtection insertRows="0"/>
  <mergeCells count="28"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</mergeCells>
  <phoneticPr fontId="19"/>
  <conditionalFormatting sqref="F15:G32">
    <cfRule type="expression" dxfId="4" priority="8">
      <formula>D15&lt;F15</formula>
    </cfRule>
  </conditionalFormatting>
  <conditionalFormatting sqref="G9">
    <cfRule type="expression" dxfId="3" priority="2">
      <formula>E9&lt;G9</formula>
    </cfRule>
  </conditionalFormatting>
  <conditionalFormatting sqref="F9">
    <cfRule type="expression" dxfId="2" priority="1">
      <formula>D9&lt;F9</formula>
    </cfRule>
  </conditionalFormatting>
  <conditionalFormatting sqref="G10:G14">
    <cfRule type="expression" dxfId="1" priority="4">
      <formula>E10&lt;G10</formula>
    </cfRule>
  </conditionalFormatting>
  <conditionalFormatting sqref="F10:F14">
    <cfRule type="expression" dxfId="0" priority="3">
      <formula>D10&lt;F10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20" ma:contentTypeDescription="新しいドキュメントを作成します。" ma:contentTypeScope="" ma:versionID="b98fea0ea475d35394e74ccd4dbb5806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58cdd6a2d1607ef46e519342289dc102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5b9f__x88c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9f__x88c5_" ma:index="27" nillable="true" ma:displayName="実装" ma:default="0" ma:format="Dropdown" ma:internalName="_x5b9f__x88c5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_x5b9f__x88c5_ xmlns="aaa52e1c-8772-4366-aa63-bf636c80ebd4">false</_x5b9f__x88c5_>
  </documentManagement>
</p:properties>
</file>

<file path=customXml/itemProps1.xml><?xml version="1.0" encoding="utf-8"?>
<ds:datastoreItem xmlns:ds="http://schemas.openxmlformats.org/officeDocument/2006/customXml" ds:itemID="{A830679C-5432-49E5-A756-C84B8FA9F0AA}"/>
</file>

<file path=customXml/itemProps2.xml><?xml version="1.0" encoding="utf-8"?>
<ds:datastoreItem xmlns:ds="http://schemas.openxmlformats.org/officeDocument/2006/customXml" ds:itemID="{E4A34E49-7289-4AEA-9593-4F55E04ADB10}"/>
</file>

<file path=customXml/itemProps3.xml><?xml version="1.0" encoding="utf-8"?>
<ds:datastoreItem xmlns:ds="http://schemas.openxmlformats.org/officeDocument/2006/customXml" ds:itemID="{AC3AD2E1-977A-4D4F-8EE8-D64B5FFADF75}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柳 伊吹</cp:lastModifiedBy>
  <cp:revision/>
  <dcterms:created xsi:type="dcterms:W3CDTF">2021-12-14T20:18:50Z</dcterms:created>
  <dcterms:modified xsi:type="dcterms:W3CDTF">2025-05-02T01:00:36Z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